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24226"/>
  <bookViews>
    <workbookView xWindow="3950" yWindow="5310" windowWidth="14810" windowHeight="8010" activeTab="1"/>
  </bookViews>
  <sheets>
    <sheet name="Valuation" sheetId="1" r:id="rId1"/>
    <sheet name="sheet2" sheetId="2" r:id="rId2"/>
    <sheet name="Sheet3" sheetId="3" r:id="rId3"/>
  </sheets>
  <calcPr calcId="152511"/>
</workbook>
</file>

<file path=xl/calcChain.xml><?xml version="1.0" encoding="utf-8"?>
<calcChain xmlns="http://schemas.openxmlformats.org/spreadsheetml/2006/main">
  <c r="F53" i="2" l="1"/>
  <c r="E53" i="2"/>
  <c r="D53" i="2"/>
  <c r="F46" i="2"/>
  <c r="E46" i="2"/>
  <c r="D46" i="2"/>
  <c r="G45" i="2"/>
  <c r="H45" i="2" s="1"/>
  <c r="F45" i="2"/>
  <c r="E45" i="2"/>
  <c r="D45" i="2"/>
  <c r="F44" i="2"/>
  <c r="F52" i="2" s="1"/>
  <c r="F54" i="2" s="1"/>
  <c r="E44" i="2"/>
  <c r="E52" i="2" s="1"/>
  <c r="E54" i="2" s="1"/>
  <c r="D44" i="2"/>
  <c r="D52" i="2" s="1"/>
  <c r="D54" i="2" s="1"/>
  <c r="G54" i="2" s="1"/>
  <c r="F31" i="2"/>
  <c r="F39" i="2" s="1"/>
  <c r="E31" i="2"/>
  <c r="E39" i="2" s="1"/>
  <c r="D31" i="2"/>
  <c r="D39" i="2" s="1"/>
  <c r="F30" i="2"/>
  <c r="G30" i="2" s="1"/>
  <c r="H30" i="2" s="1"/>
  <c r="E30" i="2"/>
  <c r="D30" i="2"/>
  <c r="F29" i="2"/>
  <c r="E29" i="2"/>
  <c r="D29" i="2"/>
  <c r="F28" i="2"/>
  <c r="F38" i="2" s="1"/>
  <c r="F40" i="2" s="1"/>
  <c r="E28" i="2"/>
  <c r="E38" i="2" s="1"/>
  <c r="E40" i="2" s="1"/>
  <c r="D28" i="2"/>
  <c r="D38" i="2" s="1"/>
  <c r="F22" i="2"/>
  <c r="F23" i="2" s="1"/>
  <c r="E22" i="2"/>
  <c r="E24" i="2" s="1"/>
  <c r="G20" i="2"/>
  <c r="H20" i="2" s="1"/>
  <c r="G15" i="2"/>
  <c r="F14" i="2"/>
  <c r="E14" i="2"/>
  <c r="D14" i="2"/>
  <c r="F13" i="2"/>
  <c r="G13" i="2" s="1"/>
  <c r="H13" i="2" s="1"/>
  <c r="H12" i="2" s="1"/>
  <c r="E13" i="2"/>
  <c r="D13" i="2"/>
  <c r="F12" i="2"/>
  <c r="E12" i="2"/>
  <c r="D12" i="2"/>
  <c r="F11" i="2"/>
  <c r="E11" i="2"/>
  <c r="D11" i="2"/>
  <c r="D22" i="2" s="1"/>
  <c r="K7" i="2"/>
  <c r="K6" i="2"/>
  <c r="K5" i="2"/>
  <c r="F28" i="1"/>
  <c r="E28" i="1"/>
  <c r="D28" i="1"/>
  <c r="D29" i="1" s="1"/>
  <c r="F27" i="1"/>
  <c r="F29" i="1" s="1"/>
  <c r="E27" i="1"/>
  <c r="E29" i="1" s="1"/>
  <c r="D27" i="1"/>
  <c r="F23" i="1"/>
  <c r="E23" i="1"/>
  <c r="D23" i="1"/>
  <c r="F22" i="1"/>
  <c r="F24" i="1" s="1"/>
  <c r="E22" i="1"/>
  <c r="E24" i="1" s="1"/>
  <c r="D22" i="1"/>
  <c r="D24" i="1" s="1"/>
  <c r="G24" i="1" s="1"/>
  <c r="F19" i="1"/>
  <c r="E19" i="1"/>
  <c r="D19" i="1"/>
  <c r="G19" i="1" s="1"/>
  <c r="K19" i="1" s="1"/>
  <c r="E18" i="1"/>
  <c r="D18" i="1"/>
  <c r="J17" i="1"/>
  <c r="J18" i="1" s="1"/>
  <c r="K18" i="1" s="1"/>
  <c r="G17" i="1"/>
  <c r="J19" i="1" s="1"/>
  <c r="F17" i="1"/>
  <c r="F18" i="1" s="1"/>
  <c r="E17" i="1"/>
  <c r="D17" i="1"/>
  <c r="G15" i="1"/>
  <c r="N10" i="1"/>
  <c r="J20" i="1" s="1"/>
  <c r="N9" i="1"/>
  <c r="N8" i="1"/>
  <c r="N7" i="1"/>
  <c r="J22" i="1" s="1"/>
  <c r="L7" i="1"/>
  <c r="N6" i="1"/>
  <c r="L6" i="1"/>
  <c r="N5" i="1"/>
  <c r="L5" i="1"/>
  <c r="H54" i="2" l="1"/>
  <c r="D24" i="2"/>
  <c r="D23" i="2"/>
  <c r="G22" i="2"/>
  <c r="H22" i="2" s="1"/>
  <c r="D40" i="2"/>
  <c r="G40" i="2" s="1"/>
  <c r="F24" i="2"/>
  <c r="G31" i="2"/>
  <c r="E23" i="2"/>
  <c r="H31" i="2"/>
  <c r="J21" i="1"/>
  <c r="J23" i="1"/>
  <c r="J24" i="1" s="1"/>
  <c r="J25" i="1" s="1"/>
  <c r="G29" i="1"/>
  <c r="H38" i="2" l="1"/>
  <c r="H40" i="2" s="1"/>
  <c r="G23" i="2"/>
  <c r="H23" i="2" s="1"/>
  <c r="G24" i="2"/>
  <c r="H24" i="2" s="1"/>
</calcChain>
</file>

<file path=xl/sharedStrings.xml><?xml version="1.0" encoding="utf-8"?>
<sst xmlns="http://schemas.openxmlformats.org/spreadsheetml/2006/main" count="159" uniqueCount="68">
  <si>
    <t>Company Name</t>
  </si>
  <si>
    <t>Date</t>
  </si>
  <si>
    <t xml:space="preserve">    Sales</t>
  </si>
  <si>
    <t xml:space="preserve">        Equity dividend</t>
  </si>
  <si>
    <t xml:space="preserve">    Borrowings</t>
  </si>
  <si>
    <t xml:space="preserve">    PAT</t>
  </si>
  <si>
    <t xml:space="preserve">    Outstanding shares </t>
  </si>
  <si>
    <t>Growth</t>
  </si>
  <si>
    <t>Index P/E</t>
  </si>
  <si>
    <t>PAT</t>
  </si>
  <si>
    <t>Sales</t>
  </si>
  <si>
    <t>Dividend</t>
  </si>
  <si>
    <t>Projections</t>
  </si>
  <si>
    <t>P/E Method</t>
  </si>
  <si>
    <t>P/E Relative</t>
  </si>
  <si>
    <t>Earning Valuation</t>
  </si>
  <si>
    <t>P/E</t>
  </si>
  <si>
    <t>Earnings</t>
  </si>
  <si>
    <t xml:space="preserve">P/E Growth </t>
  </si>
  <si>
    <t>EPS</t>
  </si>
  <si>
    <t>Price</t>
  </si>
  <si>
    <t>Revenue Valuation</t>
  </si>
  <si>
    <t>Revenue</t>
  </si>
  <si>
    <t>Mkt Cap</t>
  </si>
  <si>
    <t>PSR</t>
  </si>
  <si>
    <t>Accounting Valuation</t>
  </si>
  <si>
    <t>Equity Worth</t>
  </si>
  <si>
    <t>Book Value</t>
  </si>
  <si>
    <t>Price to Book Value</t>
  </si>
  <si>
    <t>Net fixed assets</t>
  </si>
  <si>
    <t>EPS on accounting year end</t>
  </si>
  <si>
    <t xml:space="preserve">NSE Average price </t>
  </si>
  <si>
    <t>Borrowings</t>
  </si>
  <si>
    <t>P/E-Index</t>
  </si>
  <si>
    <t>Year 1</t>
  </si>
  <si>
    <t>Year 2</t>
  </si>
  <si>
    <t>Year 3</t>
  </si>
  <si>
    <t>Year 4*</t>
  </si>
  <si>
    <t>Weight</t>
  </si>
  <si>
    <t>Market Cap + debt</t>
  </si>
  <si>
    <t>Total Cap + debt</t>
  </si>
  <si>
    <t>Latest Year</t>
  </si>
  <si>
    <t>Privious year</t>
  </si>
  <si>
    <t>Prior to Previous Year</t>
  </si>
  <si>
    <t xml:space="preserve"> </t>
  </si>
  <si>
    <t>Data</t>
  </si>
  <si>
    <t>PAT (Crore)</t>
  </si>
  <si>
    <t>Forecast Year (Growth rate)</t>
  </si>
  <si>
    <t xml:space="preserve">    Outstanding shares  (Number)</t>
  </si>
  <si>
    <t>Forecast Price</t>
  </si>
  <si>
    <t>Forecast Year (Aaverage Multiple)</t>
  </si>
  <si>
    <t xml:space="preserve">Forecast Value </t>
  </si>
  <si>
    <t xml:space="preserve">    Outstanding shares (Number)</t>
  </si>
  <si>
    <t xml:space="preserve">    Borrowings (Crore)</t>
  </si>
  <si>
    <t xml:space="preserve">    Sales (Crore)</t>
  </si>
  <si>
    <t>Intrinsic Valuation (P/E)</t>
  </si>
  <si>
    <t>Intrinsic Valuation (PSR)</t>
  </si>
  <si>
    <t>Intrinsic Valuation (P/B)</t>
  </si>
  <si>
    <t>Current Market Price</t>
  </si>
  <si>
    <t>INR Crore</t>
  </si>
  <si>
    <t>INR</t>
  </si>
  <si>
    <t>Number</t>
  </si>
  <si>
    <t>Total assets</t>
  </si>
  <si>
    <t>Book Value per share</t>
  </si>
  <si>
    <t>L&amp;T</t>
  </si>
  <si>
    <t>Market Price</t>
  </si>
  <si>
    <t>Book Value  per share</t>
  </si>
  <si>
    <t>Total assets (Crore)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</si>
</sst>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8" formatCode="0.000"/>
    <numFmt numFmtId="179" formatCode="0.0"/>
    <numFmt numFmtId="180" formatCode="0.0%"/>
  </numFmts>
  <fonts count="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B050"/>
      <name val="Arial"/>
      <family val="2"/>
    </font>
    <font>
      <b/>
      <sz val="11"/>
      <color rgb="FF00B05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4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98">
    <xf numFmtId="0" fontId="0" fillId="0" borderId="0" xfId="0"/>
    <xf numFmtId="17" fontId="0" fillId="0" borderId="0" xfId="0" applyNumberFormat="1"/>
    <xf numFmtId="0" fontId="0" fillId="0" borderId="0" xfId="0" applyAlignment="1">
      <alignment wrapText="1"/>
    </xf>
    <xf numFmtId="0" fontId="2" fillId="0" borderId="0" xfId="0" applyFont="1"/>
    <xf numFmtId="0" fontId="0" fillId="0" borderId="0" xfId="0" applyBorder="1"/>
    <xf numFmtId="0" fontId="2" fillId="0" borderId="0" xfId="0" applyFont="1" applyFill="1" applyBorder="1"/>
    <xf numFmtId="0" fontId="0" fillId="0" borderId="0" xfId="0" applyFill="1" applyBorder="1"/>
    <xf numFmtId="0" fontId="1" fillId="0" borderId="0" xfId="0" applyFont="1" applyFill="1" applyBorder="1"/>
    <xf numFmtId="0" fontId="0" fillId="0" borderId="1" xfId="0" applyBorder="1"/>
    <xf numFmtId="0" fontId="1" fillId="0" borderId="1" xfId="0" applyFont="1" applyBorder="1"/>
    <xf numFmtId="0" fontId="2" fillId="0" borderId="1" xfId="0" applyFont="1" applyBorder="1"/>
    <xf numFmtId="17" fontId="0" fillId="0" borderId="1" xfId="0" applyNumberFormat="1" applyBorder="1"/>
    <xf numFmtId="0" fontId="5" fillId="0" borderId="0" xfId="0" applyFont="1" applyAlignment="1">
      <alignment horizontal="center"/>
    </xf>
    <xf numFmtId="0" fontId="4" fillId="0" borderId="0" xfId="1" applyFill="1" applyBorder="1" applyAlignment="1">
      <alignment horizontal="center"/>
    </xf>
    <xf numFmtId="0" fontId="5" fillId="0" borderId="0" xfId="0" applyFont="1" applyFill="1" applyBorder="1" applyAlignment="1">
      <alignment horizontal="center"/>
    </xf>
    <xf numFmtId="2" fontId="0" fillId="0" borderId="1" xfId="0" applyNumberFormat="1" applyBorder="1"/>
    <xf numFmtId="2" fontId="2" fillId="0" borderId="1" xfId="0" applyNumberFormat="1" applyFont="1" applyBorder="1"/>
    <xf numFmtId="0" fontId="2" fillId="0" borderId="1" xfId="0" applyFont="1" applyFill="1" applyBorder="1"/>
    <xf numFmtId="0" fontId="2" fillId="0" borderId="1" xfId="0" applyFont="1" applyFill="1" applyBorder="1" applyAlignment="1">
      <alignment wrapText="1"/>
    </xf>
    <xf numFmtId="2" fontId="1" fillId="0" borderId="1" xfId="0" applyNumberFormat="1" applyFont="1" applyBorder="1"/>
    <xf numFmtId="178" fontId="1" fillId="0" borderId="1" xfId="0" applyNumberFormat="1" applyFont="1" applyBorder="1"/>
    <xf numFmtId="0" fontId="1" fillId="0" borderId="1" xfId="0" applyFont="1" applyFill="1" applyBorder="1"/>
    <xf numFmtId="0" fontId="0" fillId="0" borderId="1" xfId="0" applyFill="1" applyBorder="1"/>
    <xf numFmtId="4" fontId="1" fillId="0" borderId="1" xfId="0" applyNumberFormat="1" applyFont="1" applyFill="1" applyBorder="1"/>
    <xf numFmtId="1" fontId="1" fillId="0" borderId="1" xfId="0" applyNumberFormat="1" applyFont="1" applyBorder="1"/>
    <xf numFmtId="180" fontId="1" fillId="0" borderId="1" xfId="2" applyNumberFormat="1" applyFont="1" applyFill="1" applyBorder="1"/>
    <xf numFmtId="180" fontId="1" fillId="0" borderId="1" xfId="2" applyNumberFormat="1" applyFont="1" applyFill="1" applyBorder="1" applyAlignment="1">
      <alignment wrapText="1"/>
    </xf>
    <xf numFmtId="0" fontId="0" fillId="0" borderId="1" xfId="0" applyBorder="1" applyAlignment="1">
      <alignment vertical="top" wrapText="1"/>
    </xf>
    <xf numFmtId="0" fontId="5" fillId="3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/>
    </xf>
    <xf numFmtId="0" fontId="6" fillId="4" borderId="1" xfId="1" applyFont="1" applyFill="1" applyBorder="1"/>
    <xf numFmtId="0" fontId="6" fillId="4" borderId="1" xfId="1" applyFont="1" applyFill="1" applyBorder="1" applyAlignment="1">
      <alignment horizontal="center"/>
    </xf>
    <xf numFmtId="0" fontId="6" fillId="4" borderId="1" xfId="1" applyFont="1" applyFill="1" applyBorder="1" applyAlignment="1">
      <alignment horizontal="center" wrapText="1"/>
    </xf>
    <xf numFmtId="0" fontId="6" fillId="5" borderId="1" xfId="1" applyFont="1" applyFill="1" applyBorder="1"/>
    <xf numFmtId="0" fontId="5" fillId="6" borderId="1" xfId="0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180" fontId="3" fillId="0" borderId="1" xfId="2" applyNumberFormat="1" applyFont="1" applyBorder="1"/>
    <xf numFmtId="0" fontId="5" fillId="7" borderId="0" xfId="0" applyFont="1" applyFill="1" applyBorder="1" applyAlignment="1">
      <alignment horizontal="center" wrapText="1"/>
    </xf>
    <xf numFmtId="0" fontId="5" fillId="0" borderId="0" xfId="0" applyFont="1"/>
    <xf numFmtId="0" fontId="6" fillId="5" borderId="1" xfId="1" applyFont="1" applyFill="1" applyBorder="1" applyAlignment="1">
      <alignment horizontal="center"/>
    </xf>
    <xf numFmtId="0" fontId="6" fillId="4" borderId="1" xfId="1" applyFont="1" applyFill="1" applyBorder="1" applyAlignment="1">
      <alignment wrapText="1"/>
    </xf>
    <xf numFmtId="2" fontId="5" fillId="3" borderId="1" xfId="0" applyNumberFormat="1" applyFont="1" applyFill="1" applyBorder="1" applyAlignment="1">
      <alignment horizontal="center" wrapText="1"/>
    </xf>
    <xf numFmtId="180" fontId="3" fillId="0" borderId="0" xfId="2" applyNumberFormat="1" applyFont="1" applyBorder="1"/>
    <xf numFmtId="0" fontId="2" fillId="0" borderId="0" xfId="0" applyFont="1" applyBorder="1" applyAlignment="1">
      <alignment horizontal="center" wrapText="1"/>
    </xf>
    <xf numFmtId="17" fontId="0" fillId="0" borderId="0" xfId="0" applyNumberFormat="1" applyBorder="1"/>
    <xf numFmtId="0" fontId="1" fillId="0" borderId="0" xfId="0" applyFont="1" applyBorder="1"/>
    <xf numFmtId="179" fontId="1" fillId="0" borderId="0" xfId="0" applyNumberFormat="1" applyFont="1" applyBorder="1"/>
    <xf numFmtId="0" fontId="5" fillId="0" borderId="0" xfId="0" applyFont="1" applyFill="1" applyBorder="1" applyAlignment="1">
      <alignment horizontal="center" wrapText="1"/>
    </xf>
    <xf numFmtId="0" fontId="0" fillId="0" borderId="4" xfId="0" applyBorder="1"/>
    <xf numFmtId="2" fontId="2" fillId="0" borderId="4" xfId="0" applyNumberFormat="1" applyFont="1" applyBorder="1"/>
    <xf numFmtId="2" fontId="1" fillId="0" borderId="0" xfId="0" applyNumberFormat="1" applyFont="1" applyFill="1" applyBorder="1"/>
    <xf numFmtId="2" fontId="2" fillId="0" borderId="0" xfId="0" applyNumberFormat="1" applyFont="1" applyBorder="1"/>
    <xf numFmtId="180" fontId="1" fillId="0" borderId="0" xfId="2" applyNumberFormat="1" applyFont="1" applyFill="1" applyBorder="1"/>
    <xf numFmtId="0" fontId="2" fillId="0" borderId="0" xfId="0" applyFont="1" applyFill="1" applyBorder="1" applyAlignment="1">
      <alignment wrapText="1"/>
    </xf>
    <xf numFmtId="180" fontId="1" fillId="0" borderId="0" xfId="2" applyNumberFormat="1" applyFont="1" applyFill="1" applyBorder="1" applyAlignment="1">
      <alignment wrapText="1"/>
    </xf>
    <xf numFmtId="0" fontId="5" fillId="0" borderId="0" xfId="0" applyFont="1" applyFill="1" applyBorder="1" applyAlignment="1">
      <alignment wrapText="1"/>
    </xf>
    <xf numFmtId="180" fontId="3" fillId="0" borderId="0" xfId="2" applyNumberFormat="1" applyFont="1" applyFill="1" applyBorder="1"/>
    <xf numFmtId="0" fontId="5" fillId="7" borderId="1" xfId="0" applyFont="1" applyFill="1" applyBorder="1" applyAlignment="1">
      <alignment horizontal="center" wrapText="1"/>
    </xf>
    <xf numFmtId="0" fontId="5" fillId="0" borderId="1" xfId="0" applyFont="1" applyBorder="1"/>
    <xf numFmtId="2" fontId="5" fillId="0" borderId="0" xfId="0" applyNumberFormat="1" applyFont="1" applyBorder="1"/>
    <xf numFmtId="0" fontId="6" fillId="0" borderId="0" xfId="1" applyFont="1" applyFill="1" applyBorder="1"/>
    <xf numFmtId="0" fontId="6" fillId="0" borderId="0" xfId="1" applyFont="1" applyFill="1" applyBorder="1" applyAlignment="1">
      <alignment horizontal="center"/>
    </xf>
    <xf numFmtId="1" fontId="1" fillId="0" borderId="0" xfId="0" applyNumberFormat="1" applyFont="1" applyFill="1" applyBorder="1"/>
    <xf numFmtId="2" fontId="2" fillId="0" borderId="0" xfId="0" applyNumberFormat="1" applyFont="1" applyFill="1" applyBorder="1"/>
    <xf numFmtId="2" fontId="5" fillId="0" borderId="0" xfId="0" applyNumberFormat="1" applyFont="1" applyFill="1" applyBorder="1"/>
    <xf numFmtId="2" fontId="0" fillId="0" borderId="0" xfId="0" applyNumberFormat="1" applyFill="1" applyBorder="1"/>
    <xf numFmtId="0" fontId="5" fillId="0" borderId="3" xfId="0" applyFont="1" applyFill="1" applyBorder="1" applyAlignment="1">
      <alignment horizontal="center" wrapText="1"/>
    </xf>
    <xf numFmtId="2" fontId="2" fillId="0" borderId="3" xfId="0" applyNumberFormat="1" applyFont="1" applyBorder="1"/>
    <xf numFmtId="0" fontId="0" fillId="0" borderId="4" xfId="0" applyFill="1" applyBorder="1"/>
    <xf numFmtId="0" fontId="1" fillId="0" borderId="4" xfId="0" applyFont="1" applyFill="1" applyBorder="1"/>
    <xf numFmtId="178" fontId="1" fillId="0" borderId="4" xfId="0" applyNumberFormat="1" applyFont="1" applyBorder="1"/>
    <xf numFmtId="2" fontId="1" fillId="0" borderId="1" xfId="0" applyNumberFormat="1" applyFont="1" applyFill="1" applyBorder="1"/>
    <xf numFmtId="2" fontId="1" fillId="0" borderId="4" xfId="0" applyNumberFormat="1" applyFont="1" applyBorder="1"/>
    <xf numFmtId="178" fontId="1" fillId="0" borderId="3" xfId="0" applyNumberFormat="1" applyFont="1" applyBorder="1"/>
    <xf numFmtId="0" fontId="2" fillId="0" borderId="4" xfId="0" applyFont="1" applyBorder="1"/>
    <xf numFmtId="0" fontId="2" fillId="0" borderId="2" xfId="0" applyFont="1" applyBorder="1" applyAlignment="1">
      <alignment horizontal="center" wrapText="1"/>
    </xf>
    <xf numFmtId="0" fontId="2" fillId="0" borderId="3" xfId="0" applyFont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0" fontId="6" fillId="5" borderId="1" xfId="1" applyFont="1" applyFill="1" applyBorder="1" applyAlignment="1">
      <alignment horizontal="center"/>
    </xf>
    <xf numFmtId="0" fontId="6" fillId="0" borderId="0" xfId="1" applyFont="1" applyFill="1" applyBorder="1" applyAlignment="1">
      <alignment horizontal="center"/>
    </xf>
    <xf numFmtId="3" fontId="0" fillId="8" borderId="0" xfId="0" applyNumberFormat="1" applyFill="1" applyAlignment="1">
      <alignment vertical="center" wrapText="1"/>
    </xf>
    <xf numFmtId="2" fontId="0" fillId="8" borderId="0" xfId="0" applyNumberFormat="1" applyFill="1"/>
    <xf numFmtId="0" fontId="1" fillId="8" borderId="1" xfId="0" applyFont="1" applyFill="1" applyBorder="1"/>
    <xf numFmtId="0" fontId="0" fillId="8" borderId="0" xfId="0" applyFill="1" applyAlignment="1">
      <alignment vertical="center" wrapText="1"/>
    </xf>
    <xf numFmtId="3" fontId="5" fillId="0" borderId="0" xfId="0" applyNumberFormat="1" applyFont="1"/>
    <xf numFmtId="0" fontId="0" fillId="8" borderId="1" xfId="0" applyFill="1" applyBorder="1"/>
    <xf numFmtId="2" fontId="7" fillId="0" borderId="1" xfId="0" applyNumberFormat="1" applyFont="1" applyBorder="1"/>
    <xf numFmtId="2" fontId="8" fillId="0" borderId="1" xfId="0" applyNumberFormat="1" applyFont="1" applyBorder="1"/>
    <xf numFmtId="0" fontId="5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1" xfId="0" applyNumberFormat="1" applyBorder="1"/>
    <xf numFmtId="3" fontId="0" fillId="8" borderId="1" xfId="0" applyNumberFormat="1" applyFill="1" applyBorder="1" applyAlignment="1">
      <alignment vertical="center" wrapText="1"/>
    </xf>
    <xf numFmtId="2" fontId="0" fillId="8" borderId="1" xfId="0" applyNumberFormat="1" applyFill="1" applyBorder="1"/>
    <xf numFmtId="0" fontId="0" fillId="8" borderId="1" xfId="0" applyFill="1" applyBorder="1" applyAlignment="1">
      <alignment vertical="center" wrapText="1"/>
    </xf>
    <xf numFmtId="0" fontId="1" fillId="0" borderId="4" xfId="0" applyFont="1" applyBorder="1"/>
    <xf numFmtId="0" fontId="7" fillId="0" borderId="1" xfId="0" applyFont="1" applyBorder="1"/>
    <xf numFmtId="0" fontId="5" fillId="8" borderId="1" xfId="0" applyFont="1" applyFill="1" applyBorder="1" applyAlignment="1">
      <alignment horizontal="center" wrapText="1"/>
    </xf>
    <xf numFmtId="2" fontId="7" fillId="0" borderId="1" xfId="0" applyNumberFormat="1" applyFont="1" applyFill="1" applyBorder="1"/>
  </cellXfs>
  <cellStyles count="3">
    <cellStyle name="Accent1" xfId="1" builtinId="29"/>
    <cellStyle name="Normal" xfId="0" builtinId="0"/>
    <cellStyle name="Percent" xfId="2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29"/>
  <sheetViews>
    <sheetView workbookViewId="0">
      <selection sqref="A1:IV65536"/>
    </sheetView>
  </sheetViews>
  <sheetFormatPr defaultRowHeight="14.5" x14ac:dyDescent="0.35"/>
  <cols>
    <col min="1" max="1" width="9" customWidth="1"/>
    <col min="3" max="3" width="19.81640625" customWidth="1"/>
    <col min="4" max="4" width="16" bestFit="1" customWidth="1"/>
    <col min="5" max="5" width="18.26953125" customWidth="1"/>
    <col min="6" max="6" width="17.453125" customWidth="1"/>
    <col min="8" max="8" width="11.81640625" customWidth="1"/>
    <col min="9" max="9" width="14.26953125" customWidth="1"/>
    <col min="10" max="10" width="20.81640625" customWidth="1"/>
    <col min="11" max="11" width="11.26953125" style="6" customWidth="1"/>
    <col min="12" max="12" width="13" customWidth="1"/>
  </cols>
  <sheetData>
    <row r="1" spans="1:31" x14ac:dyDescent="0.35">
      <c r="A1" t="s">
        <v>58</v>
      </c>
      <c r="C1">
        <v>4025</v>
      </c>
      <c r="D1" s="1">
        <v>46204</v>
      </c>
    </row>
    <row r="2" spans="1:31" x14ac:dyDescent="0.35">
      <c r="K2" s="14"/>
    </row>
    <row r="3" spans="1:31" x14ac:dyDescent="0.35">
      <c r="C3" s="12" t="s">
        <v>59</v>
      </c>
      <c r="D3" s="12" t="s">
        <v>59</v>
      </c>
      <c r="E3" s="12" t="s">
        <v>59</v>
      </c>
      <c r="F3" s="12" t="s">
        <v>59</v>
      </c>
      <c r="G3" s="12" t="s">
        <v>59</v>
      </c>
      <c r="H3" s="12" t="s">
        <v>60</v>
      </c>
      <c r="I3" s="12" t="s">
        <v>61</v>
      </c>
      <c r="J3" s="12" t="s">
        <v>60</v>
      </c>
      <c r="K3" s="12" t="s">
        <v>59</v>
      </c>
      <c r="L3" s="12" t="s">
        <v>60</v>
      </c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29" x14ac:dyDescent="0.35">
      <c r="A4" s="28" t="s">
        <v>0</v>
      </c>
      <c r="B4" s="29" t="s">
        <v>1</v>
      </c>
      <c r="C4" s="28" t="s">
        <v>2</v>
      </c>
      <c r="D4" s="28" t="s">
        <v>3</v>
      </c>
      <c r="E4" s="28" t="s">
        <v>4</v>
      </c>
      <c r="F4" s="28" t="s">
        <v>29</v>
      </c>
      <c r="G4" s="28" t="s">
        <v>5</v>
      </c>
      <c r="H4" s="28" t="s">
        <v>31</v>
      </c>
      <c r="I4" s="28" t="s">
        <v>6</v>
      </c>
      <c r="J4" s="28" t="s">
        <v>30</v>
      </c>
      <c r="K4" s="28" t="s">
        <v>62</v>
      </c>
      <c r="L4" s="37" t="s">
        <v>63</v>
      </c>
      <c r="M4" s="34"/>
      <c r="N4" s="35" t="s">
        <v>7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s="3" customFormat="1" ht="18.75" customHeight="1" x14ac:dyDescent="0.35">
      <c r="A5" s="75" t="s">
        <v>64</v>
      </c>
      <c r="B5" s="11" t="s">
        <v>34</v>
      </c>
      <c r="C5" s="80">
        <v>221113</v>
      </c>
      <c r="D5" s="81">
        <v>34.199999999999996</v>
      </c>
      <c r="E5" s="80">
        <v>116322</v>
      </c>
      <c r="F5" s="80">
        <v>42964</v>
      </c>
      <c r="G5" s="80">
        <v>15547</v>
      </c>
      <c r="H5" s="82">
        <v>3590.35</v>
      </c>
      <c r="I5" s="82">
        <v>1375768535</v>
      </c>
      <c r="J5" s="83">
        <v>95</v>
      </c>
      <c r="K5" s="80">
        <v>339602</v>
      </c>
      <c r="L5" s="21">
        <f>K5*10000000/I5</f>
        <v>2468.4530236040032</v>
      </c>
      <c r="M5" s="17" t="s">
        <v>33</v>
      </c>
      <c r="N5" s="25">
        <f>SQRT(D15/F15)-1</f>
        <v>6.7069052890375902E-2</v>
      </c>
    </row>
    <row r="6" spans="1:31" ht="16.5" customHeight="1" x14ac:dyDescent="0.35">
      <c r="A6" s="76"/>
      <c r="B6" s="11" t="s">
        <v>35</v>
      </c>
      <c r="C6" s="80">
        <v>255734</v>
      </c>
      <c r="D6" s="81">
        <v>33.898499999999999</v>
      </c>
      <c r="E6" s="80">
        <v>132409</v>
      </c>
      <c r="F6" s="80">
        <v>44055</v>
      </c>
      <c r="G6" s="80">
        <v>17673</v>
      </c>
      <c r="H6" s="82">
        <v>3625.72</v>
      </c>
      <c r="I6" s="82">
        <v>1375768535</v>
      </c>
      <c r="J6" s="83">
        <v>109.35</v>
      </c>
      <c r="K6" s="80">
        <v>379114</v>
      </c>
      <c r="L6" s="21">
        <f>K6*10000000/I6</f>
        <v>2755.6524978963848</v>
      </c>
      <c r="M6" s="17" t="s">
        <v>9</v>
      </c>
      <c r="N6" s="25">
        <f>SQRT(G7/G5)-1</f>
        <v>0.10414761542448869</v>
      </c>
    </row>
    <row r="7" spans="1:31" ht="18" customHeight="1" x14ac:dyDescent="0.35">
      <c r="A7" s="77"/>
      <c r="B7" s="11" t="s">
        <v>36</v>
      </c>
      <c r="C7" s="80">
        <v>285874</v>
      </c>
      <c r="D7" s="81">
        <v>37.414400000000001</v>
      </c>
      <c r="E7" s="80">
        <v>125497</v>
      </c>
      <c r="F7" s="80">
        <v>30867</v>
      </c>
      <c r="G7" s="80">
        <v>18954</v>
      </c>
      <c r="H7" s="82">
        <v>4081.0299999999997</v>
      </c>
      <c r="I7" s="82">
        <v>1375768535</v>
      </c>
      <c r="J7" s="83">
        <v>116.92</v>
      </c>
      <c r="K7" s="80">
        <v>452383</v>
      </c>
      <c r="L7" s="21">
        <f>K7*10000000/I7</f>
        <v>3288.2202819095583</v>
      </c>
      <c r="M7" s="17" t="s">
        <v>10</v>
      </c>
      <c r="N7" s="25">
        <f>SQRT(C7/C5)-1</f>
        <v>0.13705164468401798</v>
      </c>
    </row>
    <row r="8" spans="1:31" x14ac:dyDescent="0.35">
      <c r="B8" s="1"/>
      <c r="C8" s="3"/>
      <c r="D8" s="3"/>
      <c r="E8" s="3"/>
      <c r="F8" s="3"/>
      <c r="G8" s="3"/>
      <c r="H8" s="3"/>
      <c r="I8" s="3"/>
      <c r="J8" s="3"/>
      <c r="L8" s="5"/>
      <c r="M8" s="18" t="s">
        <v>11</v>
      </c>
      <c r="N8" s="26">
        <f>SQRT(D7/D5)-1</f>
        <v>4.5938958110638195E-2</v>
      </c>
    </row>
    <row r="9" spans="1:31" x14ac:dyDescent="0.35">
      <c r="B9">
        <v>2026</v>
      </c>
      <c r="I9" s="84" t="s">
        <v>44</v>
      </c>
      <c r="L9" s="13"/>
      <c r="M9" s="17" t="s">
        <v>32</v>
      </c>
      <c r="N9" s="36">
        <f>(SQRT(E7/E5)-1)</f>
        <v>3.8689500777524755E-2</v>
      </c>
    </row>
    <row r="10" spans="1:31" x14ac:dyDescent="0.35">
      <c r="I10" t="s">
        <v>44</v>
      </c>
      <c r="L10" s="6"/>
      <c r="M10" s="17" t="s">
        <v>27</v>
      </c>
      <c r="N10" s="36">
        <f>SQRT(K7/K5)-1</f>
        <v>0.15416531443350157</v>
      </c>
    </row>
    <row r="12" spans="1:31" x14ac:dyDescent="0.35">
      <c r="C12" t="s">
        <v>38</v>
      </c>
      <c r="D12">
        <v>3</v>
      </c>
      <c r="E12">
        <v>2</v>
      </c>
      <c r="F12">
        <v>1</v>
      </c>
    </row>
    <row r="14" spans="1:31" x14ac:dyDescent="0.35">
      <c r="C14" s="30"/>
      <c r="D14" s="31" t="s">
        <v>36</v>
      </c>
      <c r="E14" s="32" t="s">
        <v>35</v>
      </c>
      <c r="F14" s="31" t="s">
        <v>34</v>
      </c>
      <c r="G14" s="31" t="s">
        <v>37</v>
      </c>
      <c r="I14" s="78" t="s">
        <v>12</v>
      </c>
      <c r="J14" s="78"/>
      <c r="K14" s="78"/>
    </row>
    <row r="15" spans="1:31" x14ac:dyDescent="0.35">
      <c r="C15" s="17" t="s">
        <v>8</v>
      </c>
      <c r="D15" s="85">
        <v>30.06</v>
      </c>
      <c r="E15" s="85">
        <v>29.5</v>
      </c>
      <c r="F15" s="85">
        <v>26.4</v>
      </c>
      <c r="G15" s="16">
        <f>(3*D15+2*E15+F15)/6</f>
        <v>29.263333333333335</v>
      </c>
      <c r="I15" s="33"/>
      <c r="J15" s="39" t="s">
        <v>13</v>
      </c>
      <c r="K15" s="39" t="s">
        <v>14</v>
      </c>
      <c r="L15" s="38"/>
    </row>
    <row r="16" spans="1:31" x14ac:dyDescent="0.35">
      <c r="C16" s="17" t="s">
        <v>15</v>
      </c>
      <c r="D16" s="8"/>
      <c r="E16" s="8"/>
      <c r="F16" s="8"/>
      <c r="G16" s="16"/>
      <c r="I16" s="17"/>
      <c r="J16" s="8"/>
      <c r="K16" s="8"/>
      <c r="L16" s="5"/>
      <c r="M16" s="5"/>
      <c r="N16" s="5"/>
    </row>
    <row r="17" spans="3:14" x14ac:dyDescent="0.35">
      <c r="C17" s="21" t="s">
        <v>16</v>
      </c>
      <c r="D17" s="19">
        <f>H7/J7</f>
        <v>34.904464591173451</v>
      </c>
      <c r="E17" s="19">
        <f>H6/J6</f>
        <v>33.157018747142203</v>
      </c>
      <c r="F17" s="19">
        <f>H5/J5</f>
        <v>37.793157894736844</v>
      </c>
      <c r="G17" s="16">
        <f>(3*D17+2*E17+F17)/6</f>
        <v>34.803431527090268</v>
      </c>
      <c r="I17" s="17" t="s">
        <v>17</v>
      </c>
      <c r="J17" s="24">
        <f>G7*(1+N6)*10000000</f>
        <v>209280139027.55759</v>
      </c>
      <c r="K17" s="24"/>
      <c r="L17" s="6"/>
      <c r="M17" s="6"/>
      <c r="N17" s="6"/>
    </row>
    <row r="18" spans="3:14" x14ac:dyDescent="0.35">
      <c r="C18" s="21" t="s">
        <v>18</v>
      </c>
      <c r="D18" s="19">
        <f>D17/($N$5*100)</f>
        <v>5.2042578636416197</v>
      </c>
      <c r="E18" s="19">
        <f>E17/($N$5*100)</f>
        <v>4.9437135785020283</v>
      </c>
      <c r="F18" s="19">
        <f>F17/($N$5*100)</f>
        <v>5.6349622167036726</v>
      </c>
      <c r="G18" s="16"/>
      <c r="I18" s="17" t="s">
        <v>19</v>
      </c>
      <c r="J18" s="19">
        <f>J17/I7</f>
        <v>152.11871307084195</v>
      </c>
      <c r="K18" s="19">
        <f>J18</f>
        <v>152.11871307084195</v>
      </c>
    </row>
    <row r="19" spans="3:14" x14ac:dyDescent="0.35">
      <c r="C19" s="21" t="s">
        <v>14</v>
      </c>
      <c r="D19" s="19">
        <f>D17/D15</f>
        <v>1.1611598333723703</v>
      </c>
      <c r="E19" s="19">
        <f>E17/E15</f>
        <v>1.1239667371912612</v>
      </c>
      <c r="F19" s="19">
        <f>F17/F15</f>
        <v>1.4315590111642744</v>
      </c>
      <c r="G19" s="16">
        <f>((3*D19+2*E19+F19)/6)*G15</f>
        <v>34.935406145635255</v>
      </c>
      <c r="I19" s="17" t="s">
        <v>20</v>
      </c>
      <c r="J19" s="86">
        <f>G17*J18</f>
        <v>5294.2532143501394</v>
      </c>
      <c r="K19" s="86">
        <f>G19*K18</f>
        <v>5314.3290234812175</v>
      </c>
    </row>
    <row r="20" spans="3:14" x14ac:dyDescent="0.35">
      <c r="C20" s="22"/>
      <c r="D20" s="8"/>
      <c r="E20" s="8"/>
      <c r="F20" s="8"/>
      <c r="G20" s="16"/>
      <c r="I20" s="17" t="s">
        <v>27</v>
      </c>
      <c r="J20" s="8">
        <f>(K7*(1+N10)*10000000)/I7</f>
        <v>3795.149795596762</v>
      </c>
      <c r="K20" s="8"/>
    </row>
    <row r="21" spans="3:14" x14ac:dyDescent="0.35">
      <c r="C21" s="17" t="s">
        <v>21</v>
      </c>
      <c r="D21" s="8"/>
      <c r="E21" s="8"/>
      <c r="F21" s="8"/>
      <c r="G21" s="10"/>
      <c r="I21" s="17" t="s">
        <v>20</v>
      </c>
      <c r="J21" s="87">
        <f>J20*G29</f>
        <v>4939.5711549695598</v>
      </c>
      <c r="K21" s="22"/>
      <c r="L21" s="4"/>
    </row>
    <row r="22" spans="3:14" x14ac:dyDescent="0.35">
      <c r="C22" s="21" t="s">
        <v>39</v>
      </c>
      <c r="D22" s="24">
        <f>H7*I7+E7*10000000</f>
        <v>6869522664391.0498</v>
      </c>
      <c r="E22" s="24">
        <f>I6*H6+E6*10000000</f>
        <v>6312241492720.2002</v>
      </c>
      <c r="F22" s="24">
        <f>I5*H5+E5*10000000</f>
        <v>6102710559637.25</v>
      </c>
      <c r="G22" s="10"/>
      <c r="H22" s="7"/>
      <c r="I22" s="17" t="s">
        <v>22</v>
      </c>
      <c r="J22" s="15">
        <f>C7*(1+N7)</f>
        <v>325053.50187239895</v>
      </c>
      <c r="K22" s="8"/>
    </row>
    <row r="23" spans="3:14" x14ac:dyDescent="0.35">
      <c r="C23" s="21" t="s">
        <v>22</v>
      </c>
      <c r="D23" s="24">
        <f>C7*10000000</f>
        <v>2858740000000</v>
      </c>
      <c r="E23" s="24">
        <f>C6*10000000</f>
        <v>2557340000000</v>
      </c>
      <c r="F23" s="24">
        <f>C5*10000000</f>
        <v>2211130000000</v>
      </c>
      <c r="G23" s="10"/>
      <c r="H23" s="7"/>
      <c r="I23" s="17" t="s">
        <v>40</v>
      </c>
      <c r="J23" s="15">
        <f>J22*G24</f>
        <v>807515.96748904954</v>
      </c>
      <c r="K23" s="8"/>
    </row>
    <row r="24" spans="3:14" x14ac:dyDescent="0.35">
      <c r="C24" s="21" t="s">
        <v>24</v>
      </c>
      <c r="D24" s="20">
        <f>D22/D23</f>
        <v>2.4029896613161918</v>
      </c>
      <c r="E24" s="20">
        <f>E22/E23</f>
        <v>2.4682840344733981</v>
      </c>
      <c r="F24" s="20">
        <f>F22/F23</f>
        <v>2.7599962732346133</v>
      </c>
      <c r="G24" s="16">
        <f>(3*D24+2*E24+F24)/6</f>
        <v>2.4842555543549971</v>
      </c>
      <c r="H24" s="7"/>
      <c r="I24" s="17" t="s">
        <v>23</v>
      </c>
      <c r="J24" s="24">
        <f>(J23-(E7*(1+N9)))*10000000</f>
        <v>6771635512099.7246</v>
      </c>
      <c r="K24" s="8"/>
    </row>
    <row r="25" spans="3:14" x14ac:dyDescent="0.35">
      <c r="C25" s="22"/>
      <c r="D25" s="8"/>
      <c r="E25" s="8"/>
      <c r="F25" s="8"/>
      <c r="G25" s="10"/>
      <c r="I25" s="17" t="s">
        <v>20</v>
      </c>
      <c r="J25" s="86">
        <f>J24/I7</f>
        <v>4922.0747093912314</v>
      </c>
      <c r="K25" s="8"/>
    </row>
    <row r="26" spans="3:14" x14ac:dyDescent="0.35">
      <c r="C26" s="17" t="s">
        <v>25</v>
      </c>
      <c r="D26" s="8"/>
      <c r="E26" s="8"/>
      <c r="F26" s="8"/>
      <c r="G26" s="10"/>
    </row>
    <row r="27" spans="3:14" x14ac:dyDescent="0.35">
      <c r="C27" s="21" t="s">
        <v>65</v>
      </c>
      <c r="D27" s="24">
        <f>H7</f>
        <v>4081.0299999999997</v>
      </c>
      <c r="E27" s="8">
        <f>H6</f>
        <v>3625.72</v>
      </c>
      <c r="F27" s="8">
        <f>H5</f>
        <v>3590.35</v>
      </c>
      <c r="G27" s="10"/>
    </row>
    <row r="28" spans="3:14" x14ac:dyDescent="0.35">
      <c r="C28" s="23" t="s">
        <v>27</v>
      </c>
      <c r="D28" s="15">
        <f>L7</f>
        <v>3288.2202819095583</v>
      </c>
      <c r="E28" s="15">
        <f>L6</f>
        <v>2755.6524978963848</v>
      </c>
      <c r="F28" s="15">
        <f>L5</f>
        <v>2468.4530236040032</v>
      </c>
      <c r="G28" s="16"/>
    </row>
    <row r="29" spans="3:14" x14ac:dyDescent="0.35">
      <c r="C29" s="21" t="s">
        <v>28</v>
      </c>
      <c r="D29" s="19">
        <f>D27/D28</f>
        <v>1.2411060239644394</v>
      </c>
      <c r="E29" s="19">
        <f>E27/E28</f>
        <v>1.3157391952605813</v>
      </c>
      <c r="F29" s="19">
        <f>F27/F28</f>
        <v>1.4544939545813187</v>
      </c>
      <c r="G29" s="16">
        <f>(3*D29+2*E29+F29)/6</f>
        <v>1.3015484028326332</v>
      </c>
    </row>
  </sheetData>
  <mergeCells count="2">
    <mergeCell ref="A5:A7"/>
    <mergeCell ref="I14:K14"/>
  </mergeCell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AE54"/>
  <sheetViews>
    <sheetView tabSelected="1" workbookViewId="0">
      <selection activeCell="B10" sqref="B10"/>
    </sheetView>
  </sheetViews>
  <sheetFormatPr defaultRowHeight="14.5" x14ac:dyDescent="0.35"/>
  <cols>
    <col min="1" max="1" width="9" customWidth="1"/>
    <col min="3" max="3" width="19.81640625" customWidth="1"/>
    <col min="4" max="4" width="16" bestFit="1" customWidth="1"/>
    <col min="5" max="5" width="18.26953125" customWidth="1"/>
    <col min="6" max="6" width="17.453125" customWidth="1"/>
    <col min="7" max="7" width="10" customWidth="1"/>
    <col min="8" max="8" width="11.81640625" customWidth="1"/>
    <col min="9" max="9" width="14.26953125" customWidth="1"/>
    <col min="10" max="10" width="20.81640625" customWidth="1"/>
    <col min="11" max="11" width="11.26953125" style="6" customWidth="1"/>
    <col min="12" max="12" width="13" customWidth="1"/>
  </cols>
  <sheetData>
    <row r="2" spans="1:31" x14ac:dyDescent="0.35">
      <c r="K2" s="14"/>
    </row>
    <row r="3" spans="1:31" x14ac:dyDescent="0.35">
      <c r="A3" s="8"/>
      <c r="B3" s="8"/>
      <c r="C3" s="88" t="s">
        <v>59</v>
      </c>
      <c r="D3" s="88" t="s">
        <v>59</v>
      </c>
      <c r="E3" s="88" t="s">
        <v>59</v>
      </c>
      <c r="F3" s="88" t="s">
        <v>59</v>
      </c>
      <c r="G3" s="88" t="s">
        <v>59</v>
      </c>
      <c r="H3" s="88" t="s">
        <v>60</v>
      </c>
      <c r="I3" s="88" t="s">
        <v>61</v>
      </c>
      <c r="J3" s="88" t="s">
        <v>60</v>
      </c>
      <c r="K3" s="88" t="s">
        <v>60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</row>
    <row r="4" spans="1:31" ht="29" x14ac:dyDescent="0.35">
      <c r="A4" s="28" t="s">
        <v>0</v>
      </c>
      <c r="B4" s="29" t="s">
        <v>1</v>
      </c>
      <c r="C4" s="28" t="s">
        <v>2</v>
      </c>
      <c r="D4" s="28" t="s">
        <v>3</v>
      </c>
      <c r="E4" s="28" t="s">
        <v>4</v>
      </c>
      <c r="F4" s="28" t="s">
        <v>62</v>
      </c>
      <c r="G4" s="28" t="s">
        <v>5</v>
      </c>
      <c r="H4" s="28" t="s">
        <v>31</v>
      </c>
      <c r="I4" s="28" t="s">
        <v>6</v>
      </c>
      <c r="J4" s="28" t="s">
        <v>30</v>
      </c>
      <c r="K4" s="57" t="s">
        <v>66</v>
      </c>
      <c r="L4" s="55"/>
      <c r="M4" s="5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spans="1:31" s="3" customFormat="1" ht="18.75" customHeight="1" x14ac:dyDescent="0.35">
      <c r="A5" s="89" t="s">
        <v>64</v>
      </c>
      <c r="B5" s="90">
        <v>2024</v>
      </c>
      <c r="C5" s="91">
        <v>221113</v>
      </c>
      <c r="D5" s="92">
        <v>34.199999999999996</v>
      </c>
      <c r="E5" s="91">
        <v>116322</v>
      </c>
      <c r="F5" s="91">
        <v>339602</v>
      </c>
      <c r="G5" s="91">
        <v>15547</v>
      </c>
      <c r="H5" s="82">
        <v>3590.35</v>
      </c>
      <c r="I5" s="82">
        <v>1375768535</v>
      </c>
      <c r="J5" s="93">
        <v>95</v>
      </c>
      <c r="K5" s="21">
        <f>F5*10000000/I5</f>
        <v>2468.4530236040032</v>
      </c>
      <c r="L5" s="5"/>
      <c r="M5" s="52"/>
    </row>
    <row r="6" spans="1:31" ht="16.5" customHeight="1" x14ac:dyDescent="0.35">
      <c r="A6" s="89"/>
      <c r="B6" s="90">
        <v>2025</v>
      </c>
      <c r="C6" s="91">
        <v>255734</v>
      </c>
      <c r="D6" s="92">
        <v>33.898499999999999</v>
      </c>
      <c r="E6" s="91">
        <v>132409</v>
      </c>
      <c r="F6" s="91">
        <v>379114</v>
      </c>
      <c r="G6" s="91">
        <v>17673</v>
      </c>
      <c r="H6" s="82">
        <v>3625.72</v>
      </c>
      <c r="I6" s="82">
        <v>1375768535</v>
      </c>
      <c r="J6" s="93">
        <v>109.35</v>
      </c>
      <c r="K6" s="21">
        <f>F6*10000000/I6</f>
        <v>2755.6524978963848</v>
      </c>
      <c r="L6" s="5"/>
      <c r="M6" s="52"/>
    </row>
    <row r="7" spans="1:31" ht="18" customHeight="1" x14ac:dyDescent="0.35">
      <c r="A7" s="89"/>
      <c r="B7" s="90">
        <v>2026</v>
      </c>
      <c r="C7" s="91">
        <v>285874</v>
      </c>
      <c r="D7" s="92">
        <v>37.414400000000001</v>
      </c>
      <c r="E7" s="91">
        <v>125497</v>
      </c>
      <c r="F7" s="91">
        <v>452383</v>
      </c>
      <c r="G7" s="91">
        <v>18954</v>
      </c>
      <c r="H7" s="82">
        <v>4081.0299999999997</v>
      </c>
      <c r="I7" s="82">
        <v>1375768535</v>
      </c>
      <c r="J7" s="93">
        <v>116.92</v>
      </c>
      <c r="K7" s="21">
        <f>F7*10000000/I7</f>
        <v>3288.2202819095583</v>
      </c>
      <c r="L7" s="5"/>
      <c r="M7" s="52"/>
    </row>
    <row r="8" spans="1:31" ht="18" customHeight="1" x14ac:dyDescent="0.35">
      <c r="A8" s="43"/>
      <c r="B8" s="44"/>
      <c r="C8" s="94"/>
      <c r="D8" s="94"/>
      <c r="E8" s="94"/>
      <c r="F8" s="94"/>
      <c r="G8" s="94"/>
      <c r="H8" s="45"/>
      <c r="I8" s="45"/>
      <c r="J8" s="46"/>
      <c r="K8" s="7"/>
      <c r="L8" s="5"/>
      <c r="M8" s="52"/>
    </row>
    <row r="9" spans="1:31" ht="18" customHeight="1" x14ac:dyDescent="0.35">
      <c r="A9" s="43"/>
      <c r="B9" s="44"/>
      <c r="C9" s="95" t="s">
        <v>55</v>
      </c>
      <c r="D9" s="9"/>
      <c r="E9" s="9"/>
      <c r="F9" s="9"/>
      <c r="G9" s="9"/>
      <c r="H9" s="45"/>
      <c r="I9" s="45"/>
      <c r="J9" s="46"/>
      <c r="K9" s="7"/>
      <c r="L9" s="5"/>
      <c r="M9" s="52"/>
    </row>
    <row r="10" spans="1:31" ht="58" x14ac:dyDescent="0.35">
      <c r="B10" s="1"/>
      <c r="C10" s="40" t="s">
        <v>45</v>
      </c>
      <c r="D10" s="32" t="s">
        <v>43</v>
      </c>
      <c r="E10" s="32" t="s">
        <v>42</v>
      </c>
      <c r="F10" s="31" t="s">
        <v>41</v>
      </c>
      <c r="G10" s="32" t="s">
        <v>47</v>
      </c>
      <c r="H10" s="32" t="s">
        <v>51</v>
      </c>
      <c r="I10" s="3"/>
      <c r="J10" s="3"/>
      <c r="K10" s="5"/>
      <c r="L10" s="53"/>
      <c r="M10" s="54"/>
    </row>
    <row r="11" spans="1:31" x14ac:dyDescent="0.35">
      <c r="C11" s="28" t="s">
        <v>31</v>
      </c>
      <c r="D11" s="28">
        <f>H5</f>
        <v>3590.35</v>
      </c>
      <c r="E11" s="28">
        <f>H6</f>
        <v>3625.72</v>
      </c>
      <c r="F11" s="28">
        <f>H7</f>
        <v>4081.0299999999997</v>
      </c>
      <c r="G11" s="8"/>
      <c r="H11" s="8"/>
      <c r="K11" s="13"/>
      <c r="L11" s="5"/>
      <c r="M11" s="56"/>
    </row>
    <row r="12" spans="1:31" ht="29" x14ac:dyDescent="0.35">
      <c r="C12" s="28" t="s">
        <v>30</v>
      </c>
      <c r="D12" s="41">
        <f>J5</f>
        <v>95</v>
      </c>
      <c r="E12" s="41">
        <f>J6</f>
        <v>109.35</v>
      </c>
      <c r="F12" s="41">
        <f>J7</f>
        <v>116.92</v>
      </c>
      <c r="G12" s="8"/>
      <c r="H12" s="8">
        <f>H13*10000000/F14</f>
        <v>152.11871307084195</v>
      </c>
      <c r="L12" s="5"/>
      <c r="M12" s="56"/>
    </row>
    <row r="13" spans="1:31" x14ac:dyDescent="0.35">
      <c r="C13" s="28" t="s">
        <v>46</v>
      </c>
      <c r="D13" s="41">
        <f>G5</f>
        <v>15547</v>
      </c>
      <c r="E13" s="41">
        <f>G6</f>
        <v>17673</v>
      </c>
      <c r="F13" s="41">
        <f>G7</f>
        <v>18954</v>
      </c>
      <c r="G13" s="8">
        <f>SQRT(F13/D13)-1</f>
        <v>0.10414761542448869</v>
      </c>
      <c r="H13" s="8">
        <f>F13*(1+G13)</f>
        <v>20928.01390275576</v>
      </c>
      <c r="L13" s="5"/>
      <c r="M13" s="42"/>
    </row>
    <row r="14" spans="1:31" ht="29" x14ac:dyDescent="0.35">
      <c r="C14" s="28" t="s">
        <v>48</v>
      </c>
      <c r="D14" s="28">
        <f>I5</f>
        <v>1375768535</v>
      </c>
      <c r="E14" s="28">
        <f>I6</f>
        <v>1375768535</v>
      </c>
      <c r="F14" s="28">
        <f>I7</f>
        <v>1375768535</v>
      </c>
      <c r="G14" s="8"/>
      <c r="H14" s="8"/>
    </row>
    <row r="15" spans="1:31" x14ac:dyDescent="0.35">
      <c r="C15" s="28" t="s">
        <v>8</v>
      </c>
      <c r="D15" s="96">
        <v>26.4</v>
      </c>
      <c r="E15" s="96">
        <v>29.5</v>
      </c>
      <c r="F15" s="96">
        <v>30.06</v>
      </c>
      <c r="G15" s="8">
        <f>SQRT(F15/D15)-1</f>
        <v>6.7069052890375902E-2</v>
      </c>
      <c r="H15" s="8"/>
    </row>
    <row r="16" spans="1:31" x14ac:dyDescent="0.35">
      <c r="C16" s="47"/>
    </row>
    <row r="17" spans="3:14" x14ac:dyDescent="0.35">
      <c r="C17" t="s">
        <v>38</v>
      </c>
      <c r="D17">
        <v>1</v>
      </c>
      <c r="E17">
        <v>2</v>
      </c>
      <c r="F17">
        <v>3</v>
      </c>
    </row>
    <row r="19" spans="3:14" ht="58" x14ac:dyDescent="0.35">
      <c r="C19" s="40"/>
      <c r="D19" s="32" t="s">
        <v>43</v>
      </c>
      <c r="E19" s="32" t="s">
        <v>42</v>
      </c>
      <c r="F19" s="31" t="s">
        <v>41</v>
      </c>
      <c r="G19" s="32" t="s">
        <v>50</v>
      </c>
      <c r="H19" s="32" t="s">
        <v>49</v>
      </c>
      <c r="I19" s="79"/>
      <c r="J19" s="79"/>
      <c r="K19" s="79"/>
    </row>
    <row r="20" spans="3:14" x14ac:dyDescent="0.35">
      <c r="C20" s="17" t="s">
        <v>8</v>
      </c>
      <c r="D20" s="85">
        <v>26.4</v>
      </c>
      <c r="E20" s="85">
        <v>29.5</v>
      </c>
      <c r="F20" s="85">
        <v>30.06</v>
      </c>
      <c r="G20" s="16">
        <f>SUMPRODUCT(D17:F17,D20:F20)/6</f>
        <v>29.263333333333332</v>
      </c>
      <c r="H20" s="87">
        <f>G20*H12</f>
        <v>4451.500606829738</v>
      </c>
      <c r="I20" s="60"/>
      <c r="J20" s="61"/>
      <c r="K20" s="61"/>
      <c r="L20" s="38"/>
    </row>
    <row r="21" spans="3:14" x14ac:dyDescent="0.35">
      <c r="C21" s="17" t="s">
        <v>15</v>
      </c>
      <c r="D21" s="8" t="s">
        <v>44</v>
      </c>
      <c r="E21" s="8" t="s">
        <v>44</v>
      </c>
      <c r="F21" s="8" t="s">
        <v>44</v>
      </c>
      <c r="G21" s="16"/>
      <c r="H21" s="58"/>
      <c r="I21" s="5"/>
      <c r="J21" s="6"/>
      <c r="L21" s="5"/>
      <c r="M21" s="5"/>
      <c r="N21" s="5"/>
    </row>
    <row r="22" spans="3:14" x14ac:dyDescent="0.35">
      <c r="C22" s="21" t="s">
        <v>16</v>
      </c>
      <c r="D22" s="19">
        <f>D11/D12</f>
        <v>37.793157894736844</v>
      </c>
      <c r="E22" s="19">
        <f>E11/E12</f>
        <v>33.157018747142203</v>
      </c>
      <c r="F22" s="19">
        <f>F11/F12</f>
        <v>34.904464591173451</v>
      </c>
      <c r="G22" s="16">
        <f>SUMPRODUCT(D17:F17,D22:F22)/6</f>
        <v>34.803431527090268</v>
      </c>
      <c r="H22" s="87">
        <f>G22*H12</f>
        <v>5294.2532143501394</v>
      </c>
      <c r="I22" s="5"/>
      <c r="J22" s="62"/>
      <c r="K22" s="62"/>
      <c r="L22" s="6"/>
      <c r="M22" s="6"/>
      <c r="N22" s="6"/>
    </row>
    <row r="23" spans="3:14" x14ac:dyDescent="0.35">
      <c r="C23" s="21" t="s">
        <v>18</v>
      </c>
      <c r="D23" s="19">
        <f>D22/($G15*100)</f>
        <v>5.6349622167036726</v>
      </c>
      <c r="E23" s="19">
        <f>E22/($G15*100)</f>
        <v>4.9437135785020283</v>
      </c>
      <c r="F23" s="19">
        <f>F22/($G15*100)</f>
        <v>5.2042578636416197</v>
      </c>
      <c r="G23" s="16">
        <f>SUMPRODUCT(D17:F17,D23:F23)/6</f>
        <v>5.189193827438765</v>
      </c>
      <c r="H23" s="87">
        <f>H7*(1+G23/100)</f>
        <v>4292.8025568559242</v>
      </c>
      <c r="I23" s="5"/>
      <c r="J23" s="50"/>
      <c r="K23" s="50"/>
    </row>
    <row r="24" spans="3:14" x14ac:dyDescent="0.35">
      <c r="C24" s="21" t="s">
        <v>14</v>
      </c>
      <c r="D24" s="19">
        <f>D22/D20</f>
        <v>1.4315590111642744</v>
      </c>
      <c r="E24" s="19">
        <f>E22/E20</f>
        <v>1.1239667371912612</v>
      </c>
      <c r="F24" s="19">
        <f>F22/F20</f>
        <v>1.1611598333723703</v>
      </c>
      <c r="G24" s="16">
        <f>SUMPRODUCT(D17:F17,D24:F24)/6*G20</f>
        <v>34.935406145635248</v>
      </c>
      <c r="H24" s="87">
        <f>G24*H12</f>
        <v>5314.3290234812166</v>
      </c>
      <c r="I24" s="5"/>
      <c r="J24" s="63"/>
      <c r="K24" s="63"/>
    </row>
    <row r="25" spans="3:14" x14ac:dyDescent="0.35">
      <c r="C25" s="21"/>
      <c r="D25" s="72"/>
      <c r="E25" s="72"/>
      <c r="F25" s="72"/>
      <c r="G25" s="49"/>
      <c r="H25" s="59"/>
      <c r="I25" s="5"/>
      <c r="J25" s="63"/>
      <c r="K25" s="63"/>
    </row>
    <row r="26" spans="3:14" x14ac:dyDescent="0.35">
      <c r="C26" s="95" t="s">
        <v>56</v>
      </c>
      <c r="D26" s="48"/>
      <c r="E26" s="48"/>
      <c r="F26" s="48"/>
      <c r="G26" s="49"/>
      <c r="I26" s="5"/>
      <c r="J26" s="6"/>
    </row>
    <row r="27" spans="3:14" ht="58" x14ac:dyDescent="0.35">
      <c r="C27" s="40" t="s">
        <v>45</v>
      </c>
      <c r="D27" s="32" t="s">
        <v>43</v>
      </c>
      <c r="E27" s="32" t="s">
        <v>42</v>
      </c>
      <c r="F27" s="31" t="s">
        <v>41</v>
      </c>
      <c r="G27" s="32" t="s">
        <v>47</v>
      </c>
      <c r="H27" s="32" t="s">
        <v>51</v>
      </c>
      <c r="I27" s="5"/>
      <c r="J27" s="6"/>
    </row>
    <row r="28" spans="3:14" x14ac:dyDescent="0.35">
      <c r="C28" s="28" t="s">
        <v>31</v>
      </c>
      <c r="D28" s="28">
        <f>H5</f>
        <v>3590.35</v>
      </c>
      <c r="E28" s="28">
        <f>H6</f>
        <v>3625.72</v>
      </c>
      <c r="F28" s="28">
        <f>H7</f>
        <v>4081.0299999999997</v>
      </c>
      <c r="G28" s="16"/>
      <c r="H28" s="8"/>
      <c r="I28" s="5"/>
      <c r="J28" s="6"/>
    </row>
    <row r="29" spans="3:14" ht="29" x14ac:dyDescent="0.35">
      <c r="C29" s="28" t="s">
        <v>52</v>
      </c>
      <c r="D29" s="28">
        <f>I5</f>
        <v>1375768535</v>
      </c>
      <c r="E29" s="28">
        <f>I6</f>
        <v>1375768535</v>
      </c>
      <c r="F29" s="28">
        <f>I7</f>
        <v>1375768535</v>
      </c>
      <c r="G29" s="16"/>
      <c r="H29" s="8"/>
      <c r="I29" s="5"/>
      <c r="J29" s="6"/>
    </row>
    <row r="30" spans="3:14" x14ac:dyDescent="0.35">
      <c r="C30" s="28" t="s">
        <v>53</v>
      </c>
      <c r="D30" s="28">
        <f>E5</f>
        <v>116322</v>
      </c>
      <c r="E30" s="28">
        <f>E6</f>
        <v>132409</v>
      </c>
      <c r="F30" s="28">
        <f>E7</f>
        <v>125497</v>
      </c>
      <c r="G30" s="8">
        <f>SQRT(F30/D30)-1</f>
        <v>3.8689500777524755E-2</v>
      </c>
      <c r="H30" s="8">
        <f>F30*(1+G30)</f>
        <v>130352.41627907702</v>
      </c>
      <c r="I30" s="5"/>
      <c r="J30" s="6"/>
    </row>
    <row r="31" spans="3:14" x14ac:dyDescent="0.35">
      <c r="C31" s="28" t="s">
        <v>54</v>
      </c>
      <c r="D31" s="28">
        <f>C5</f>
        <v>221113</v>
      </c>
      <c r="E31" s="28">
        <f>C6</f>
        <v>255734</v>
      </c>
      <c r="F31" s="28">
        <f>C7</f>
        <v>285874</v>
      </c>
      <c r="G31" s="8">
        <f>SQRT(F31/D31)-1</f>
        <v>0.13705164468401798</v>
      </c>
      <c r="H31" s="8">
        <f>F31*(1+G31)</f>
        <v>325053.50187239895</v>
      </c>
      <c r="I31" s="5"/>
      <c r="J31" s="6"/>
    </row>
    <row r="32" spans="3:14" x14ac:dyDescent="0.35">
      <c r="C32" s="28" t="s">
        <v>44</v>
      </c>
      <c r="D32" s="28" t="s">
        <v>44</v>
      </c>
      <c r="E32" s="28" t="s">
        <v>44</v>
      </c>
      <c r="F32" s="28" t="s">
        <v>44</v>
      </c>
      <c r="G32" s="8"/>
      <c r="H32" s="8"/>
      <c r="I32" s="5"/>
      <c r="J32" s="6"/>
    </row>
    <row r="33" spans="3:12" x14ac:dyDescent="0.35">
      <c r="C33" s="66"/>
      <c r="D33" s="66"/>
      <c r="E33" s="66"/>
      <c r="F33" s="66"/>
      <c r="G33" s="67"/>
      <c r="I33" s="5"/>
      <c r="J33" s="6"/>
    </row>
    <row r="34" spans="3:12" x14ac:dyDescent="0.35">
      <c r="C34" s="4" t="s">
        <v>38</v>
      </c>
      <c r="D34" s="4">
        <v>1</v>
      </c>
      <c r="E34" s="4">
        <v>2</v>
      </c>
      <c r="F34" s="4">
        <v>3</v>
      </c>
      <c r="G34" s="51"/>
      <c r="I34" s="5"/>
      <c r="J34" s="6"/>
    </row>
    <row r="35" spans="3:12" x14ac:dyDescent="0.35">
      <c r="C35" s="68"/>
      <c r="D35" s="48"/>
      <c r="E35" s="48"/>
      <c r="F35" s="48"/>
      <c r="G35" s="49"/>
      <c r="I35" s="5"/>
      <c r="J35" s="6"/>
    </row>
    <row r="36" spans="3:12" ht="58" x14ac:dyDescent="0.35">
      <c r="C36" s="40"/>
      <c r="D36" s="32" t="s">
        <v>43</v>
      </c>
      <c r="E36" s="32" t="s">
        <v>42</v>
      </c>
      <c r="F36" s="31" t="s">
        <v>41</v>
      </c>
      <c r="G36" s="32" t="s">
        <v>50</v>
      </c>
      <c r="H36" s="32" t="s">
        <v>49</v>
      </c>
      <c r="I36" s="5"/>
      <c r="J36" s="6"/>
    </row>
    <row r="37" spans="3:12" x14ac:dyDescent="0.35">
      <c r="C37" s="17" t="s">
        <v>21</v>
      </c>
      <c r="D37" s="8"/>
      <c r="E37" s="8"/>
      <c r="F37" s="8"/>
      <c r="G37" s="10"/>
      <c r="H37" s="8"/>
      <c r="I37" s="5"/>
      <c r="J37" s="64"/>
      <c r="L37" s="4"/>
    </row>
    <row r="38" spans="3:12" x14ac:dyDescent="0.35">
      <c r="C38" s="21" t="s">
        <v>39</v>
      </c>
      <c r="D38" s="24">
        <f>D28*D29+D30*10000000</f>
        <v>6102710559637.25</v>
      </c>
      <c r="E38" s="24">
        <f>E28*E29+E30*10000000</f>
        <v>6312241492720.2002</v>
      </c>
      <c r="F38" s="24">
        <f>F28*F29+F30*10000000</f>
        <v>6869522664391.0498</v>
      </c>
      <c r="G38" s="10"/>
      <c r="H38" s="71">
        <f>G40*H31</f>
        <v>807515.96748904954</v>
      </c>
      <c r="I38" s="5"/>
      <c r="J38" s="65"/>
    </row>
    <row r="39" spans="3:12" x14ac:dyDescent="0.35">
      <c r="C39" s="21" t="s">
        <v>22</v>
      </c>
      <c r="D39" s="24">
        <f>D31*10000000</f>
        <v>2211130000000</v>
      </c>
      <c r="E39" s="24">
        <f>E31*10000000</f>
        <v>2557340000000</v>
      </c>
      <c r="F39" s="24">
        <f>F31*10000000</f>
        <v>2858740000000</v>
      </c>
      <c r="G39" s="10"/>
      <c r="H39" s="21" t="s">
        <v>44</v>
      </c>
      <c r="I39" s="5"/>
      <c r="J39" s="65"/>
    </row>
    <row r="40" spans="3:12" x14ac:dyDescent="0.35">
      <c r="C40" s="21" t="s">
        <v>24</v>
      </c>
      <c r="D40" s="20">
        <f>D38/D39</f>
        <v>2.7599962732346133</v>
      </c>
      <c r="E40" s="20">
        <f>E38/E39</f>
        <v>2.4682840344733981</v>
      </c>
      <c r="F40" s="20">
        <f>F38/F39</f>
        <v>2.4029896613161918</v>
      </c>
      <c r="G40" s="16">
        <f>SUMPRODUCT(D34:F34,D40:F40)/6</f>
        <v>2.4842555543549971</v>
      </c>
      <c r="H40" s="97">
        <f>(H38-H30)*10000000/F29</f>
        <v>4922.0747093912314</v>
      </c>
      <c r="I40" s="5"/>
      <c r="J40" s="62"/>
    </row>
    <row r="41" spans="3:12" x14ac:dyDescent="0.35">
      <c r="C41" s="69"/>
      <c r="D41" s="70"/>
      <c r="E41" s="70"/>
      <c r="F41" s="70"/>
      <c r="G41" s="49"/>
      <c r="H41" s="50"/>
      <c r="I41" s="5"/>
      <c r="J41" s="62"/>
    </row>
    <row r="42" spans="3:12" x14ac:dyDescent="0.35">
      <c r="C42" s="95" t="s">
        <v>57</v>
      </c>
      <c r="D42" s="70"/>
      <c r="E42" s="70"/>
      <c r="F42" s="70"/>
      <c r="G42" s="49"/>
      <c r="H42" s="50"/>
      <c r="I42" s="5"/>
      <c r="J42" s="62"/>
    </row>
    <row r="43" spans="3:12" ht="58" x14ac:dyDescent="0.35">
      <c r="C43" s="40" t="s">
        <v>45</v>
      </c>
      <c r="D43" s="32" t="s">
        <v>43</v>
      </c>
      <c r="E43" s="32" t="s">
        <v>42</v>
      </c>
      <c r="F43" s="31" t="s">
        <v>41</v>
      </c>
      <c r="G43" s="32" t="s">
        <v>47</v>
      </c>
      <c r="H43" s="32" t="s">
        <v>51</v>
      </c>
      <c r="I43" s="5"/>
      <c r="J43" s="62"/>
    </row>
    <row r="44" spans="3:12" x14ac:dyDescent="0.35">
      <c r="C44" s="28" t="s">
        <v>31</v>
      </c>
      <c r="D44" s="28">
        <f>H5</f>
        <v>3590.35</v>
      </c>
      <c r="E44" s="28">
        <f>H6</f>
        <v>3625.72</v>
      </c>
      <c r="F44" s="28">
        <f>H7</f>
        <v>4081.0299999999997</v>
      </c>
      <c r="G44" s="16"/>
      <c r="H44" s="71"/>
      <c r="I44" s="5"/>
      <c r="J44" s="62"/>
    </row>
    <row r="45" spans="3:12" x14ac:dyDescent="0.35">
      <c r="C45" s="28" t="s">
        <v>67</v>
      </c>
      <c r="D45" s="20">
        <f>F5</f>
        <v>339602</v>
      </c>
      <c r="E45" s="20">
        <f>F6</f>
        <v>379114</v>
      </c>
      <c r="F45" s="20">
        <f>F7</f>
        <v>452383</v>
      </c>
      <c r="G45" s="8">
        <f>SQRT(F45/D45)-1</f>
        <v>0.15416531443350157</v>
      </c>
      <c r="H45" s="71">
        <f>F45*(1+G45)</f>
        <v>522124.76743937074</v>
      </c>
      <c r="I45" s="5"/>
      <c r="J45" s="62"/>
    </row>
    <row r="46" spans="3:12" ht="29" x14ac:dyDescent="0.35">
      <c r="C46" s="28" t="s">
        <v>48</v>
      </c>
      <c r="D46" s="20">
        <f>I5</f>
        <v>1375768535</v>
      </c>
      <c r="E46" s="20">
        <f>I6</f>
        <v>1375768535</v>
      </c>
      <c r="F46" s="20">
        <f>I7</f>
        <v>1375768535</v>
      </c>
      <c r="G46" s="16"/>
      <c r="H46" s="71"/>
      <c r="I46" s="5"/>
      <c r="J46" s="62"/>
    </row>
    <row r="47" spans="3:12" x14ac:dyDescent="0.35">
      <c r="C47" s="66"/>
      <c r="D47" s="73"/>
      <c r="E47" s="73"/>
      <c r="F47" s="73"/>
      <c r="G47" s="67"/>
      <c r="H47" s="50"/>
      <c r="I47" s="5"/>
      <c r="J47" s="62"/>
    </row>
    <row r="48" spans="3:12" x14ac:dyDescent="0.35">
      <c r="C48" s="4" t="s">
        <v>38</v>
      </c>
      <c r="D48" s="4">
        <v>1</v>
      </c>
      <c r="E48" s="4">
        <v>2</v>
      </c>
      <c r="F48" s="4">
        <v>3</v>
      </c>
      <c r="G48" s="51"/>
      <c r="H48" s="50"/>
      <c r="I48" s="5"/>
      <c r="J48" s="62"/>
    </row>
    <row r="49" spans="3:11" x14ac:dyDescent="0.35">
      <c r="C49" s="68"/>
      <c r="D49" s="48"/>
      <c r="E49" s="48"/>
      <c r="F49" s="48"/>
      <c r="G49" s="74"/>
      <c r="I49" s="5"/>
      <c r="J49" s="63"/>
    </row>
    <row r="50" spans="3:11" ht="58" x14ac:dyDescent="0.35">
      <c r="C50" s="40"/>
      <c r="D50" s="32" t="s">
        <v>43</v>
      </c>
      <c r="E50" s="32" t="s">
        <v>42</v>
      </c>
      <c r="F50" s="31" t="s">
        <v>41</v>
      </c>
      <c r="G50" s="32" t="s">
        <v>50</v>
      </c>
      <c r="H50" s="32" t="s">
        <v>49</v>
      </c>
      <c r="I50" s="5"/>
      <c r="J50" s="51"/>
      <c r="K50" s="4"/>
    </row>
    <row r="51" spans="3:11" x14ac:dyDescent="0.35">
      <c r="C51" s="17" t="s">
        <v>25</v>
      </c>
      <c r="D51" s="8"/>
      <c r="E51" s="8"/>
      <c r="F51" s="8"/>
      <c r="G51" s="10"/>
      <c r="H51" s="8"/>
    </row>
    <row r="52" spans="3:11" x14ac:dyDescent="0.35">
      <c r="C52" s="21" t="s">
        <v>26</v>
      </c>
      <c r="D52" s="24">
        <f>D44</f>
        <v>3590.35</v>
      </c>
      <c r="E52" s="24">
        <f>E44</f>
        <v>3625.72</v>
      </c>
      <c r="F52" s="24">
        <f>F44</f>
        <v>4081.0299999999997</v>
      </c>
      <c r="G52" s="10"/>
      <c r="H52" s="8"/>
    </row>
    <row r="53" spans="3:11" x14ac:dyDescent="0.35">
      <c r="C53" s="23" t="s">
        <v>27</v>
      </c>
      <c r="D53" s="15">
        <f>D45*10000000/D46</f>
        <v>2468.4530236040032</v>
      </c>
      <c r="E53" s="15">
        <f>E45*10000000/E46</f>
        <v>2755.6524978963848</v>
      </c>
      <c r="F53" s="15">
        <f>F45*10000000/F46</f>
        <v>3288.2202819095583</v>
      </c>
      <c r="G53" s="16"/>
      <c r="H53" s="8"/>
    </row>
    <row r="54" spans="3:11" x14ac:dyDescent="0.35">
      <c r="C54" s="21" t="s">
        <v>28</v>
      </c>
      <c r="D54" s="19">
        <f>D52/D53</f>
        <v>1.4544939545813187</v>
      </c>
      <c r="E54" s="19">
        <f>E52/E53</f>
        <v>1.3157391952605813</v>
      </c>
      <c r="F54" s="19">
        <f>F52/F53</f>
        <v>1.2411060239644394</v>
      </c>
      <c r="G54" s="16">
        <f>SUMPRODUCT(D48:F48,D54:F54)/6</f>
        <v>1.3015484028326332</v>
      </c>
      <c r="H54" s="87">
        <f>G54*H45*10000000/F46</f>
        <v>4939.5711549695607</v>
      </c>
    </row>
  </sheetData>
  <mergeCells count="2">
    <mergeCell ref="A5:A7"/>
    <mergeCell ref="I19:K19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D1"/>
  <sheetViews>
    <sheetView workbookViewId="0">
      <selection activeCell="D6" sqref="D6"/>
    </sheetView>
  </sheetViews>
  <sheetFormatPr defaultRowHeight="14.5" x14ac:dyDescent="0.35"/>
  <sheetData>
    <row r="1" spans="2:4" x14ac:dyDescent="0.35">
      <c r="B1" s="27"/>
      <c r="C1" s="27"/>
      <c r="D1" s="2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Valuation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2026-08-05T07:36:28Z</dcterms:modified>
</cp:coreProperties>
</file>